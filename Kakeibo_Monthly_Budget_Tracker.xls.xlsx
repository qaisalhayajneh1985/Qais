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لخص والمؤشرات" sheetId="1" r:id="rId4"/>
    <sheet state="visible" name="الميزانية الشهرية" sheetId="2" r:id="rId5"/>
    <sheet state="visible" name="سجل المصروفات اليومي" sheetId="3" r:id="rId6"/>
    <sheet state="visible" name="اغراض البيت" sheetId="4" r:id="rId7"/>
    <sheet state="visible" name="تأمل وتقييم الشهر" sheetId="5" r:id="rId8"/>
  </sheets>
  <definedNames/>
  <calcPr/>
</workbook>
</file>

<file path=xl/sharedStrings.xml><?xml version="1.0" encoding="utf-8"?>
<sst xmlns="http://schemas.openxmlformats.org/spreadsheetml/2006/main" count="285" uniqueCount="242">
  <si>
    <t>لوحة المؤشرات والملخص المالي العام (Kakeibo Dashboard)</t>
  </si>
  <si>
    <t>المؤشرات الرئيسية:</t>
  </si>
  <si>
    <t>إجمالي الدخل</t>
  </si>
  <si>
    <t>مبلغ الادخار المقتطع</t>
  </si>
  <si>
    <t>إجمالي الإنفاق (ثابت + متغير)</t>
  </si>
  <si>
    <t>الرصيد المتبقي بالصندوق</t>
  </si>
  <si>
    <t>ملخص توزيع المصروفات وحالة الميزانية:</t>
  </si>
  <si>
    <t>الفئة / البند</t>
  </si>
  <si>
    <t>الميزانية المحددة</t>
  </si>
  <si>
    <t>الإنفاق الفعلي</t>
  </si>
  <si>
    <t>الفارق (المتبقي)</t>
  </si>
  <si>
    <t>نسبة الإنجاز/الاستهلاك</t>
  </si>
  <si>
    <t>الادخار المستهدف</t>
  </si>
  <si>
    <t>المصاريف الثابتة</t>
  </si>
  <si>
    <t>الاحتياجات الأساسية (Needs)</t>
  </si>
  <si>
    <t>الكماليات والرغبات (Wants)</t>
  </si>
  <si>
    <t>الثقافة والترفيه (Culture)</t>
  </si>
  <si>
    <t>المصاريف الطارئة (Extra)</t>
  </si>
  <si>
    <t>جدول تخطيط الميزانية الشهرية (نظام Kakeibo)</t>
  </si>
  <si>
    <t>أولاً: الدخل والادخار المستهدف</t>
  </si>
  <si>
    <t>البند</t>
  </si>
  <si>
    <t>المبلغ المخطط</t>
  </si>
  <si>
    <t>المبلغ الفعلي</t>
  </si>
  <si>
    <t>الفارق</t>
  </si>
  <si>
    <t>نسبة الإنجاز</t>
  </si>
  <si>
    <t>ملاحظات</t>
  </si>
  <si>
    <t>إجمالي الدخل الشهر الأساسي</t>
  </si>
  <si>
    <t>الراتب الرئيسي</t>
  </si>
  <si>
    <t>مداخيل إضافية / حوافز</t>
  </si>
  <si>
    <t>عمل إضافي</t>
  </si>
  <si>
    <t>هدف الادخار المقتطع فوراً (Kakeibo)</t>
  </si>
  <si>
    <t>ادخار في بداية الشهر (20%)</t>
  </si>
  <si>
    <t>الصافي المتاح للإنفاق</t>
  </si>
  <si>
    <t>المبلغ المتبقي للنفقات الثابتة والمتغيرة</t>
  </si>
  <si>
    <t>ثانياً: الالتزامات والمصاريف الثابتة</t>
  </si>
  <si>
    <t>تاريخ الاستحقاق</t>
  </si>
  <si>
    <t>حالة الدفع</t>
  </si>
  <si>
    <t>قرض السكن / القسط السيارة</t>
  </si>
  <si>
    <t>24 بالشهر</t>
  </si>
  <si>
    <t>تم الدفع</t>
  </si>
  <si>
    <t>فواتير (كهرباء وماء)</t>
  </si>
  <si>
    <t>25 بالشهر</t>
  </si>
  <si>
    <t>اشتراك الإنترنت والموبايل</t>
  </si>
  <si>
    <t>16 بالشهر</t>
  </si>
  <si>
    <t>سلفة/قرض اثاث / تأمين</t>
  </si>
  <si>
    <t>23 بالشهر</t>
  </si>
  <si>
    <t>رسوم واشتراكات تعليمية/مدرسة بنات</t>
  </si>
  <si>
    <t>إجمالي المصاريف الثابتة</t>
  </si>
  <si>
    <t>-</t>
  </si>
  <si>
    <t>ثالثاً: المصاريف المتغيرة (فئات كاكيبو الأربع)</t>
  </si>
  <si>
    <t>فئة Kakeibo</t>
  </si>
  <si>
    <t>أمثلة البنود</t>
  </si>
  <si>
    <t>الإنفاق الفعلي (مستورد)</t>
  </si>
  <si>
    <t>نسبة الاستهلاك</t>
  </si>
  <si>
    <t>طعام، بقالة، مواصلات، أدوية، وقود</t>
  </si>
  <si>
    <t>مطاعم، تسوق، مقاهي، ملابس</t>
  </si>
  <si>
    <t>كتب، دورات، سينما، رحلات</t>
  </si>
  <si>
    <t>صيانة منزل/سيارة، هدايا طارئة</t>
  </si>
  <si>
    <t>إجمالي المصاريف المتغيرة</t>
  </si>
  <si>
    <t>مجموع الفئات الأربع</t>
  </si>
  <si>
    <t>سجل متابعة المصروفات اليومية (Daily Expense Tracker)</t>
  </si>
  <si>
    <t>م</t>
  </si>
  <si>
    <t>التاريخ</t>
  </si>
  <si>
    <t>اليوم</t>
  </si>
  <si>
    <t>البند / التفاصيل</t>
  </si>
  <si>
    <t>طريقة الدفع</t>
  </si>
  <si>
    <t>المبلغ (د.أ)</t>
  </si>
  <si>
    <t>2026-09-01</t>
  </si>
  <si>
    <t>الثلاثاء</t>
  </si>
  <si>
    <t>شراء خضار وفواكه وبقالة</t>
  </si>
  <si>
    <t>الاحتياجات الأساسية</t>
  </si>
  <si>
    <t>نقدي</t>
  </si>
  <si>
    <t>تسوق أسبوعي</t>
  </si>
  <si>
    <t>قهوة ومشروبات مع صديق</t>
  </si>
  <si>
    <t>الكماليات والرغبات</t>
  </si>
  <si>
    <t>بطاقة</t>
  </si>
  <si>
    <t>مقهى</t>
  </si>
  <si>
    <t>2026-09-02</t>
  </si>
  <si>
    <t>الأربعاء</t>
  </si>
  <si>
    <t>تعبئة بنزين للسيارة</t>
  </si>
  <si>
    <t>وقود</t>
  </si>
  <si>
    <t>2026-09-03</t>
  </si>
  <si>
    <t>الخميس</t>
  </si>
  <si>
    <t>شراء كتاب تطوير ذات</t>
  </si>
  <si>
    <t>الثقافة والترفيه</t>
  </si>
  <si>
    <t>مكتبة</t>
  </si>
  <si>
    <t>2026-09-04</t>
  </si>
  <si>
    <t>الجمعة</t>
  </si>
  <si>
    <t>عشاء مطعم مع العائلة</t>
  </si>
  <si>
    <t>مطعم</t>
  </si>
  <si>
    <t>2026-09-05</t>
  </si>
  <si>
    <t>السبت</t>
  </si>
  <si>
    <t>تصليح حنفية المطبخ</t>
  </si>
  <si>
    <t>المصاريف الطارئة</t>
  </si>
  <si>
    <t>صيانة منزلية</t>
  </si>
  <si>
    <t>2026-09-06</t>
  </si>
  <si>
    <t>الأحد</t>
  </si>
  <si>
    <t>شراء أدوية من الصيدلية</t>
  </si>
  <si>
    <t>صيدلية</t>
  </si>
  <si>
    <t>2026-09-07</t>
  </si>
  <si>
    <t>الإثنين</t>
  </si>
  <si>
    <t>اشتراك دورة تعليمية أونلاين</t>
  </si>
  <si>
    <t>تعليم</t>
  </si>
  <si>
    <t>2026-09-08</t>
  </si>
  <si>
    <t>مستلزمات منزلية وبقالة</t>
  </si>
  <si>
    <t>سوبرماركت</t>
  </si>
  <si>
    <t>2026-09-09</t>
  </si>
  <si>
    <t>شراء قميص جديد</t>
  </si>
  <si>
    <t>ملابس</t>
  </si>
  <si>
    <t>الإجمالي</t>
  </si>
  <si>
    <t>مجموع المصاريف اليومية</t>
  </si>
  <si>
    <t>اغراض البيت</t>
  </si>
  <si>
    <t>الغرض</t>
  </si>
  <si>
    <t>تحديد</t>
  </si>
  <si>
    <t>رز امريكي</t>
  </si>
  <si>
    <t>رز كبسة</t>
  </si>
  <si>
    <t xml:space="preserve">سكر </t>
  </si>
  <si>
    <t>طحين</t>
  </si>
  <si>
    <t>زيت قلي</t>
  </si>
  <si>
    <t>بيض</t>
  </si>
  <si>
    <t>حليب نيدو</t>
  </si>
  <si>
    <t>عدس حب</t>
  </si>
  <si>
    <t>عدس مجروش</t>
  </si>
  <si>
    <t>فاصوليا بيضاء</t>
  </si>
  <si>
    <t>فريكه ناعمة</t>
  </si>
  <si>
    <t>فريكه خشنة</t>
  </si>
  <si>
    <t>حمص حب</t>
  </si>
  <si>
    <t>نشا</t>
  </si>
  <si>
    <t>ذرة بوشار</t>
  </si>
  <si>
    <t>ملح ليمون</t>
  </si>
  <si>
    <t>ملح</t>
  </si>
  <si>
    <t>رب البندورة</t>
  </si>
  <si>
    <t>فول علب</t>
  </si>
  <si>
    <t>ذرة علبه</t>
  </si>
  <si>
    <t>نقانق</t>
  </si>
  <si>
    <t>طحنية</t>
  </si>
  <si>
    <t>نسكافيه</t>
  </si>
  <si>
    <t>شعيرية</t>
  </si>
  <si>
    <t>خل</t>
  </si>
  <si>
    <t>معكرونة لازنيا</t>
  </si>
  <si>
    <t>معكرونة سباغتي</t>
  </si>
  <si>
    <t>عسل</t>
  </si>
  <si>
    <t>فطر حبه كامله</t>
  </si>
  <si>
    <t>معكرونة اشكال</t>
  </si>
  <si>
    <t>مايونيز</t>
  </si>
  <si>
    <t>ماجي بودرة</t>
  </si>
  <si>
    <t>كريمة طبخ</t>
  </si>
  <si>
    <t>بطاطا مقطعة</t>
  </si>
  <si>
    <t>كريم كريمل</t>
  </si>
  <si>
    <t>كاتشب</t>
  </si>
  <si>
    <t>برغر سنيوره</t>
  </si>
  <si>
    <t>قشطه</t>
  </si>
  <si>
    <t>فانيلا</t>
  </si>
  <si>
    <t>فاصوليا حمرا</t>
  </si>
  <si>
    <t>حليب ابو قوس</t>
  </si>
  <si>
    <t>حليب حموده لتر</t>
  </si>
  <si>
    <t>طن</t>
  </si>
  <si>
    <t>شاي مداليات</t>
  </si>
  <si>
    <t>نوتيلا</t>
  </si>
  <si>
    <t>سردين</t>
  </si>
  <si>
    <t>زيتون اسود علب</t>
  </si>
  <si>
    <t>زنجر</t>
  </si>
  <si>
    <t>زبدة</t>
  </si>
  <si>
    <t>دجاج مسحب</t>
  </si>
  <si>
    <t>دبس فليفلة</t>
  </si>
  <si>
    <t>دبس رمان</t>
  </si>
  <si>
    <t>خميرة</t>
  </si>
  <si>
    <t>حمص باكيت</t>
  </si>
  <si>
    <t>بديل ليمون</t>
  </si>
  <si>
    <t>حليب مكثف</t>
  </si>
  <si>
    <t>قهوة حلوه</t>
  </si>
  <si>
    <t>قهوة مره</t>
  </si>
  <si>
    <t>هيل</t>
  </si>
  <si>
    <t>زعتر</t>
  </si>
  <si>
    <t>فلفل اسود</t>
  </si>
  <si>
    <t>لوز اربع</t>
  </si>
  <si>
    <t>لوز نصاص</t>
  </si>
  <si>
    <t>جوز هند</t>
  </si>
  <si>
    <t>كركم</t>
  </si>
  <si>
    <t>بهارات اكل</t>
  </si>
  <si>
    <t>جوز</t>
  </si>
  <si>
    <t>جميد حجر</t>
  </si>
  <si>
    <t>جلي نون</t>
  </si>
  <si>
    <t>بيكنج بودر</t>
  </si>
  <si>
    <t>مرتديلا</t>
  </si>
  <si>
    <t>بازيلا وجزر</t>
  </si>
  <si>
    <t>سميد</t>
  </si>
  <si>
    <t xml:space="preserve">فيليه سمك </t>
  </si>
  <si>
    <t xml:space="preserve">جبنة صفراء </t>
  </si>
  <si>
    <t>شاي نكهات</t>
  </si>
  <si>
    <t>نكشات اسنان</t>
  </si>
  <si>
    <t>نكشات اذان</t>
  </si>
  <si>
    <t>معطر جو</t>
  </si>
  <si>
    <t>معطر ارضيات</t>
  </si>
  <si>
    <t>معجون اسنان</t>
  </si>
  <si>
    <t>رول  تغليف</t>
  </si>
  <si>
    <t>قصدير</t>
  </si>
  <si>
    <t>هايبكس</t>
  </si>
  <si>
    <t>صابون سائل</t>
  </si>
  <si>
    <t>صابون</t>
  </si>
  <si>
    <t>شامبو شعر</t>
  </si>
  <si>
    <t>شامبو تليف</t>
  </si>
  <si>
    <t>فوط اطفال</t>
  </si>
  <si>
    <t>شامبو اطفال</t>
  </si>
  <si>
    <t>فاين معطر</t>
  </si>
  <si>
    <t>دواء جلي</t>
  </si>
  <si>
    <t>فاين</t>
  </si>
  <si>
    <t>فاين حمامات</t>
  </si>
  <si>
    <t>شامبو تارزميه</t>
  </si>
  <si>
    <t>مفرش اكل</t>
  </si>
  <si>
    <t>سيرف تلييف</t>
  </si>
  <si>
    <t>اكياس زبالة</t>
  </si>
  <si>
    <t>جل حمامات</t>
  </si>
  <si>
    <t>سيرف غسيل</t>
  </si>
  <si>
    <t>اكياس تفريز</t>
  </si>
  <si>
    <t>اسفنج جلي</t>
  </si>
  <si>
    <t>اقراص جلاية فينش</t>
  </si>
  <si>
    <t>ملح جلاية</t>
  </si>
  <si>
    <t>معطر غسيل</t>
  </si>
  <si>
    <t xml:space="preserve">مزيل العرق </t>
  </si>
  <si>
    <t>ايزي</t>
  </si>
  <si>
    <t xml:space="preserve">فوط نسائية </t>
  </si>
  <si>
    <t>كريم شعر</t>
  </si>
  <si>
    <t>زيت جلاية فينش</t>
  </si>
  <si>
    <t>سيترس</t>
  </si>
  <si>
    <t>صفحة التأمل والتقييم الشهري (أسئلة Kakeibo الأربعة)</t>
  </si>
  <si>
    <t>هدف طريقة كاكيبو اليابانية ليس فقط تتبع الأموال، بل زيادة الوعي بالإنفاق وتطوير العادات المالية.</t>
  </si>
  <si>
    <t>سؤال التقييم الشهري</t>
  </si>
  <si>
    <t>الإجابة والتأمل الذاتي</t>
  </si>
  <si>
    <t>الخطوات العملية للشهر القادم</t>
  </si>
  <si>
    <t>1. كم المبلغ الذي نجحت في ادخاره هذا الشهر؟ وهل حققت الهدف؟</t>
  </si>
  <si>
    <t>تم ادخار المبلغ المستهدف بالكامل بمجرد استلام الدخل.</t>
  </si>
  <si>
    <t>الاستمرار بقطع مبلغ الادخار آلياً بداية الشهر.</t>
  </si>
  <si>
    <t>2. ما هي الفئة التي استهلكت الجزء الأكثر من الميزانية المتغيرة؟</t>
  </si>
  <si>
    <t>فئة الاحتياجات الأساسية (البقالة والمستلزمات).</t>
  </si>
  <si>
    <t>إعداد قائمة تسوق محددة قبل الذهاب للسوبرماركت.</t>
  </si>
  <si>
    <t>3. ما هي المصاريف التي كان يمكن الاستغناء عنها أو تقليلها؟</t>
  </si>
  <si>
    <t>المصاريف على المطاعم والقهوة الخارجية (الكماليات).</t>
  </si>
  <si>
    <t>تحديد حد أقصى مرتين أسبوعياً للمطاعم والمقاهي.</t>
  </si>
  <si>
    <t>4. ما هي خطتك وتحسيناتك الماليّة للشهر القادم؟</t>
  </si>
  <si>
    <t>زيادة نسبة ادخار الترفيه وتخصيص مبلغ أكبر للثقافة والدورات.</t>
  </si>
  <si>
    <t>التخطيط المسبق للرحلات والمصاريف الترفيهية.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</si>
</sst>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&quot;د.أ&quot;"/>
    <numFmt numFmtId="165" formatCode="0.0%"/>
    <numFmt numFmtId="166" formatCode="[&lt;2]0;General"/>
  </numFmts>
  <fonts count="16">
    <font>
      <sz val="11.0"/>
      <color/>
      <name val="Arial"/>
      <scheme val="minor"/>
    </font>
    <font>
      <b/>
      <sz val="16.0"/>
      <color rgb="FFFFFFFF"/>
      <name val="Calibri"/>
    </font>
    <font/>
    <font>
      <b/>
      <sz val="11.0"/>
      <color rgb="FF1E293B"/>
      <name val="Calibri"/>
    </font>
    <font>
      <b/>
      <sz val="10.0"/>
      <color rgb="FF475569"/>
      <name val="Calibri"/>
    </font>
    <font>
      <b/>
      <sz val="16.0"/>
      <color rgb="FF0F172A"/>
      <name val="Calibri"/>
    </font>
    <font>
      <b/>
      <sz val="12.0"/>
      <color rgb="FF0F766E"/>
      <name val="Calibri"/>
    </font>
    <font>
      <b/>
      <sz val="11.0"/>
      <color rgb="FFFFFFFF"/>
      <name val="Calibri"/>
    </font>
    <font>
      <sz val="11.0"/>
      <color rgb="FF1E293B"/>
      <name val="Calibri"/>
    </font>
    <font>
      <sz val="11.0"/>
      <color/>
      <name val="Calibri"/>
    </font>
    <font>
      <sz val="11.0"/>
      <color/>
      <name val="Century Gothic"/>
    </font>
    <font>
      <b/>
      <sz val="28.0"/>
      <color/>
      <name val="Century Gothic"/>
    </font>
    <font>
      <b/>
      <sz val="11.0"/>
      <color rgb="FF9C0006"/>
      <name val="Century Gothic"/>
    </font>
    <font>
      <b/>
      <sz val="12.0"/>
      <color/>
      <name val="Century Gothic"/>
    </font>
    <font>
      <sz val="10.0"/>
      <color/>
      <name val="Century Gothic"/>
    </font>
    <font>
      <i/>
      <sz val="12.0"/>
      <color rgb="FFE2E8F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FEE2E2"/>
        <bgColor rgb="FFFEE2E2"/>
      </patternFill>
    </fill>
    <fill>
      <patternFill patternType="solid">
        <fgColor rgb="FFFFC7CE"/>
        <bgColor rgb="FFFFC7CE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</fills>
  <borders count="2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CBD5E1"/>
      </left>
      <right style="thin">
        <color rgb="FFCBD5E1"/>
      </right>
      <top style="thin">
        <color rgb="FFCBD5E1"/>
      </top>
      <bottom/>
    </border>
    <border>
      <left style="thin">
        <color rgb="FFCBD5E1"/>
      </left>
      <right style="thin">
        <color rgb="FFCBD5E1"/>
      </right>
      <top/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thin">
        <color rgb="FF1E293B"/>
      </top>
      <bottom style="double">
        <color rgb="FF1E293B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left style="thin">
        <color rgb="FF505050"/>
      </left>
      <right/>
      <top style="thin">
        <color rgb="FF50505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readingOrder="0"/>
    </xf>
    <xf borderId="7" fillId="3" fontId="4" numFmtId="0" xfId="0" applyAlignment="1" applyBorder="1" applyFill="1" applyFont="1">
      <alignment horizontal="center" readingOrder="0" shrinkToFit="0" vertical="center" wrapText="1"/>
    </xf>
    <xf borderId="8" fillId="3" fontId="5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readingOrder="0"/>
    </xf>
    <xf borderId="9" fillId="4" fontId="7" numFmtId="0" xfId="0" applyAlignment="1" applyBorder="1" applyFill="1" applyFont="1">
      <alignment horizontal="center" readingOrder="0" shrinkToFit="0" vertical="center" wrapText="1"/>
    </xf>
    <xf borderId="9" fillId="0" fontId="3" numFmtId="0" xfId="0" applyAlignment="1" applyBorder="1" applyFont="1">
      <alignment horizontal="right" readingOrder="0" vertical="center"/>
    </xf>
    <xf borderId="9" fillId="0" fontId="8" numFmtId="164" xfId="0" applyAlignment="1" applyBorder="1" applyFont="1" applyNumberFormat="1">
      <alignment horizontal="center" shrinkToFit="0" vertical="center" wrapText="1"/>
    </xf>
    <xf borderId="9" fillId="0" fontId="8" numFmtId="165" xfId="0" applyAlignment="1" applyBorder="1" applyFont="1" applyNumberFormat="1">
      <alignment horizontal="center" shrinkToFit="0" vertical="center" wrapText="1"/>
    </xf>
    <xf borderId="9" fillId="0" fontId="8" numFmtId="0" xfId="0" applyAlignment="1" applyBorder="1" applyFont="1">
      <alignment horizontal="right" readingOrder="0" vertical="center"/>
    </xf>
    <xf borderId="10" fillId="5" fontId="3" numFmtId="0" xfId="0" applyAlignment="1" applyBorder="1" applyFill="1" applyFont="1">
      <alignment readingOrder="0"/>
    </xf>
    <xf borderId="10" fillId="5" fontId="3" numFmtId="164" xfId="0" applyBorder="1" applyFont="1" applyNumberFormat="1"/>
    <xf borderId="10" fillId="5" fontId="3" numFmtId="165" xfId="0" applyBorder="1" applyFont="1" applyNumberFormat="1"/>
    <xf borderId="9" fillId="6" fontId="7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9" fillId="7" fontId="3" numFmtId="0" xfId="0" applyAlignment="1" applyBorder="1" applyFill="1" applyFont="1">
      <alignment horizontal="right" readingOrder="0" vertical="center"/>
    </xf>
    <xf borderId="9" fillId="8" fontId="3" numFmtId="0" xfId="0" applyAlignment="1" applyBorder="1" applyFill="1" applyFont="1">
      <alignment horizontal="right" readingOrder="0" vertical="center"/>
    </xf>
    <xf borderId="9" fillId="9" fontId="3" numFmtId="0" xfId="0" applyAlignment="1" applyBorder="1" applyFill="1" applyFont="1">
      <alignment horizontal="right" readingOrder="0" vertical="center"/>
    </xf>
    <xf borderId="9" fillId="10" fontId="3" numFmtId="0" xfId="0" applyAlignment="1" applyBorder="1" applyFill="1" applyFont="1">
      <alignment horizontal="right" readingOrder="0" vertical="center"/>
    </xf>
    <xf borderId="10" fillId="5" fontId="8" numFmtId="0" xfId="0" applyAlignment="1" applyBorder="1" applyFont="1">
      <alignment readingOrder="0"/>
    </xf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right" vertical="center"/>
    </xf>
    <xf borderId="10" fillId="5" fontId="3" numFmtId="0" xfId="0" applyAlignment="1" applyBorder="1" applyFont="1">
      <alignment horizontal="center" readingOrder="0" shrinkToFit="0" vertical="center" wrapText="1"/>
    </xf>
    <xf borderId="10" fillId="5" fontId="3" numFmtId="164" xfId="0" applyAlignment="1" applyBorder="1" applyFont="1" applyNumberFormat="1">
      <alignment horizontal="center" shrinkToFit="0" vertical="center" wrapText="1"/>
    </xf>
    <xf borderId="10" fillId="5" fontId="3" numFmtId="0" xfId="0" applyAlignment="1" applyBorder="1" applyFont="1">
      <alignment horizontal="right" readingOrder="0" vertical="center"/>
    </xf>
    <xf borderId="11" fillId="0" fontId="10" numFmtId="0" xfId="0" applyBorder="1" applyFont="1"/>
    <xf borderId="12" fillId="0" fontId="10" numFmtId="0" xfId="0" applyBorder="1" applyFont="1"/>
    <xf borderId="0" fillId="0" fontId="11" numFmtId="0" xfId="0" applyAlignment="1" applyFont="1">
      <alignment horizontal="center" readingOrder="0" vertical="center"/>
    </xf>
    <xf borderId="13" fillId="0" fontId="2" numFmtId="0" xfId="0" applyBorder="1" applyFont="1"/>
    <xf borderId="14" fillId="0" fontId="10" numFmtId="0" xfId="0" applyBorder="1" applyFont="1"/>
    <xf borderId="15" fillId="0" fontId="10" numFmtId="0" xfId="0" applyBorder="1" applyFont="1"/>
    <xf borderId="16" fillId="11" fontId="12" numFmtId="0" xfId="0" applyAlignment="1" applyBorder="1" applyFill="1" applyFont="1">
      <alignment horizontal="center" readingOrder="0" shrinkToFit="0" vertical="center" wrapText="1"/>
    </xf>
    <xf borderId="17" fillId="12" fontId="10" numFmtId="0" xfId="0" applyAlignment="1" applyBorder="1" applyFill="1" applyFont="1">
      <alignment horizontal="center" readingOrder="0" vertical="center"/>
    </xf>
    <xf borderId="18" fillId="0" fontId="13" numFmtId="0" xfId="0" applyAlignment="1" applyBorder="1" applyFont="1">
      <alignment horizontal="center" readingOrder="0" shrinkToFit="0" vertical="center" wrapText="1"/>
    </xf>
    <xf borderId="0" fillId="0" fontId="9" numFmtId="166" xfId="0" applyFont="1" applyNumberFormat="1"/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vertical="center"/>
    </xf>
    <xf borderId="19" fillId="0" fontId="13" numFmtId="0" xfId="0" applyAlignment="1" applyBorder="1" applyFont="1">
      <alignment horizontal="center" readingOrder="0" shrinkToFit="0" vertical="center" wrapText="1"/>
    </xf>
    <xf borderId="19" fillId="0" fontId="13" numFmtId="0" xfId="0" applyAlignment="1" applyBorder="1" applyFont="1">
      <alignment horizontal="center" readingOrder="0" shrinkToFit="0" vertical="center" wrapText="1"/>
    </xf>
    <xf borderId="19" fillId="13" fontId="13" numFmtId="0" xfId="0" applyAlignment="1" applyBorder="1" applyFill="1" applyFont="1">
      <alignment horizontal="center" readingOrder="0" shrinkToFit="0" vertical="center" wrapText="1"/>
    </xf>
    <xf borderId="19" fillId="14" fontId="13" numFmtId="0" xfId="0" applyAlignment="1" applyBorder="1" applyFill="1" applyFont="1">
      <alignment horizontal="center" readingOrder="0" shrinkToFit="0" vertical="center" wrapText="1"/>
    </xf>
    <xf borderId="20" fillId="14" fontId="13" numFmtId="0" xfId="0" applyAlignment="1" applyBorder="1" applyFont="1">
      <alignment horizontal="center" readingOrder="0" shrinkToFit="0" vertical="center" wrapText="1"/>
    </xf>
    <xf borderId="17" fillId="6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مقارنة الميزانية المحددة بالإنفاق الفعلي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الميزانية المحددة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'الملخص والمؤشرات'!$A$10:$A$15</c:f>
            </c:strRef>
          </c:cat>
          <c:val>
            <c:numRef>
              <c:f>'الملخص والمؤشرات'!$B$10:$B$15</c:f>
              <c:numCache/>
            </c:numRef>
          </c:val>
        </c:ser>
        <c:ser>
          <c:idx val="1"/>
          <c:order val="1"/>
          <c:tx>
            <c:v>الإنفاق الفعلي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'الملخص والمؤشرات'!$A$10:$A$15</c:f>
            </c:strRef>
          </c:cat>
          <c:val>
            <c:numRef>
              <c:f>'الملخص والمؤشرات'!$C$10:$C$15</c:f>
              <c:numCache/>
            </c:numRef>
          </c:val>
        </c:ser>
        <c:axId val="946133722"/>
        <c:axId val="307101179"/>
      </c:barChart>
      <c:catAx>
        <c:axId val="946133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فئات الإنفاق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101179"/>
      </c:catAx>
      <c:valAx>
        <c:axId val="307101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المبلغ (د.أ)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133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57531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8.0"/>
    <col customWidth="1" min="2" max="3" width="20.0"/>
    <col customWidth="1" min="4" max="5" width="22.0"/>
    <col customWidth="1" min="6" max="6" width="15.0"/>
    <col customWidth="1" min="7" max="11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4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</row>
    <row r="5">
      <c r="B5" s="9" t="str">
        <f>'الميزانية الشهرية'!C6+'الميزانية الشهرية'!C7</f>
        <v>1,846.00 د.أ</v>
      </c>
      <c r="C5" s="9" t="str">
        <f>'الميزانية الشهرية'!C8</f>
        <v>0.00 د.أ</v>
      </c>
      <c r="D5" s="9" t="str">
        <f>'الميزانية الشهرية'!C18+'الميزانية الشهرية'!D26</f>
        <v>850.50 د.أ</v>
      </c>
      <c r="E5" s="9" t="str">
        <f>'الميزانية الشهرية'!C6+'الميزانية الشهرية'!C7-'الميزانية الشهرية'!C8-C5</f>
        <v>1,846.00 د.أ</v>
      </c>
    </row>
    <row r="8">
      <c r="A8" s="10" t="s">
        <v>6</v>
      </c>
    </row>
    <row r="9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</row>
    <row r="10">
      <c r="A10" s="12" t="s">
        <v>12</v>
      </c>
      <c r="B10" s="13" t="str">
        <f>'الميزانية الشهرية'!B8</f>
        <v>100.00 د.أ</v>
      </c>
      <c r="C10" s="13" t="str">
        <f>'الميزانية الشهرية'!C8</f>
        <v>0.00 د.أ</v>
      </c>
      <c r="D10" s="13" t="str">
        <f>C10-B10</f>
        <v>-100.00 د.أ</v>
      </c>
      <c r="E10" s="14" t="str">
        <f t="shared" ref="E10:E15" si="1">C10/B10</f>
        <v>0.0%</v>
      </c>
    </row>
    <row r="11">
      <c r="A11" s="12" t="s">
        <v>13</v>
      </c>
      <c r="B11" s="13" t="str">
        <f>'الميزانية الشهرية'!B18</f>
        <v>603.00 د.أ</v>
      </c>
      <c r="C11" s="13" t="str">
        <f>'الميزانية الشهرية'!C18</f>
        <v>603.00 د.أ</v>
      </c>
      <c r="D11" s="13" t="str">
        <f t="shared" ref="D11:D15" si="2">B11-C11</f>
        <v>0.00 د.أ</v>
      </c>
      <c r="E11" s="14" t="str">
        <f t="shared" si="1"/>
        <v>100.0%</v>
      </c>
    </row>
    <row r="12">
      <c r="A12" s="12" t="s">
        <v>14</v>
      </c>
      <c r="B12" s="13" t="str">
        <f>'الميزانية الشهرية'!C22</f>
        <v>250.00 د.أ</v>
      </c>
      <c r="C12" s="13" t="str">
        <f>'الميزانية الشهرية'!D22</f>
        <v>127.00 د.أ</v>
      </c>
      <c r="D12" s="13" t="str">
        <f t="shared" si="2"/>
        <v>123.00 د.أ</v>
      </c>
      <c r="E12" s="14" t="str">
        <f t="shared" si="1"/>
        <v>50.8%</v>
      </c>
    </row>
    <row r="13">
      <c r="A13" s="12" t="s">
        <v>15</v>
      </c>
      <c r="B13" s="13" t="str">
        <f>'الميزانية الشهرية'!C23</f>
        <v>120.00 د.أ</v>
      </c>
      <c r="C13" s="13" t="str">
        <f>'الميزانية الشهرية'!D23</f>
        <v>68.50 د.أ</v>
      </c>
      <c r="D13" s="13" t="str">
        <f t="shared" si="2"/>
        <v>51.50 د.أ</v>
      </c>
      <c r="E13" s="14" t="str">
        <f t="shared" si="1"/>
        <v>57.1%</v>
      </c>
    </row>
    <row r="14">
      <c r="A14" s="12" t="s">
        <v>16</v>
      </c>
      <c r="B14" s="13" t="str">
        <f>'الميزانية الشهرية'!C24</f>
        <v>50.00 د.أ</v>
      </c>
      <c r="C14" s="13" t="str">
        <f>'الميزانية الشهرية'!D24</f>
        <v>37.00 د.أ</v>
      </c>
      <c r="D14" s="13" t="str">
        <f t="shared" si="2"/>
        <v>13.00 د.أ</v>
      </c>
      <c r="E14" s="14" t="str">
        <f t="shared" si="1"/>
        <v>74.0%</v>
      </c>
    </row>
    <row r="15">
      <c r="A15" s="12" t="s">
        <v>17</v>
      </c>
      <c r="B15" s="13" t="str">
        <f>'الميزانية الشهرية'!C25</f>
        <v>80.00 د.أ</v>
      </c>
      <c r="C15" s="13" t="str">
        <f>'الميزانية الشهرية'!D25</f>
        <v>15.00 د.أ</v>
      </c>
      <c r="D15" s="13" t="str">
        <f t="shared" si="2"/>
        <v>65.00 د.أ</v>
      </c>
      <c r="E15" s="14" t="str">
        <f t="shared" si="1"/>
        <v>18.8%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22.0"/>
    <col customWidth="1" min="4" max="5" width="16.0"/>
    <col customWidth="1" min="6" max="6" width="28.0"/>
    <col customWidth="1" min="7" max="11" width="8.71"/>
  </cols>
  <sheetData>
    <row r="1">
      <c r="A1" s="1" t="s">
        <v>18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4">
      <c r="A4" s="10" t="s">
        <v>19</v>
      </c>
    </row>
    <row r="5">
      <c r="A5" s="11" t="s">
        <v>20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</row>
    <row r="6">
      <c r="A6" s="15" t="s">
        <v>26</v>
      </c>
      <c r="B6" s="13">
        <v>1400.0</v>
      </c>
      <c r="C6" s="13">
        <v>1400.0</v>
      </c>
      <c r="D6" s="13" t="str">
        <f t="shared" ref="D6:D9" si="1">C6-B6</f>
        <v>0.00 د.أ</v>
      </c>
      <c r="E6" s="14" t="str">
        <f>C6/B6</f>
        <v>100.0%</v>
      </c>
      <c r="F6" s="15" t="s">
        <v>27</v>
      </c>
    </row>
    <row r="7">
      <c r="A7" s="15" t="s">
        <v>28</v>
      </c>
      <c r="B7" s="13">
        <v>446.0</v>
      </c>
      <c r="C7" s="13">
        <v>446.0</v>
      </c>
      <c r="D7" s="13" t="str">
        <f t="shared" si="1"/>
        <v>0.00 د.أ</v>
      </c>
      <c r="E7" s="14" t="str">
        <f>IF(B7&gt;0,C7/B7,1)</f>
        <v>100.0%</v>
      </c>
      <c r="F7" s="15" t="s">
        <v>29</v>
      </c>
    </row>
    <row r="8">
      <c r="A8" s="15" t="s">
        <v>30</v>
      </c>
      <c r="B8" s="13">
        <v>100.0</v>
      </c>
      <c r="C8" s="13">
        <v>0.0</v>
      </c>
      <c r="D8" s="13" t="str">
        <f t="shared" si="1"/>
        <v>-100.00 د.أ</v>
      </c>
      <c r="E8" s="14" t="str">
        <f t="shared" ref="E8:E9" si="3">C8/B8</f>
        <v>0.0%</v>
      </c>
      <c r="F8" s="15" t="s">
        <v>31</v>
      </c>
    </row>
    <row r="9">
      <c r="A9" s="16" t="s">
        <v>32</v>
      </c>
      <c r="B9" s="17" t="str">
        <f t="shared" ref="B9:C9" si="2">B6+B7-B8</f>
        <v>1,746.00 د.أ</v>
      </c>
      <c r="C9" s="17" t="str">
        <f t="shared" si="2"/>
        <v>1,846.00 د.أ</v>
      </c>
      <c r="D9" s="17" t="str">
        <f t="shared" si="1"/>
        <v>100.00 د.أ</v>
      </c>
      <c r="E9" s="18" t="str">
        <f t="shared" si="3"/>
        <v>105.7%</v>
      </c>
      <c r="F9" s="16" t="s">
        <v>33</v>
      </c>
    </row>
    <row r="11">
      <c r="A11" s="10" t="s">
        <v>34</v>
      </c>
    </row>
    <row r="12">
      <c r="A12" s="19" t="s">
        <v>20</v>
      </c>
      <c r="B12" s="19" t="s">
        <v>8</v>
      </c>
      <c r="C12" s="19" t="s">
        <v>9</v>
      </c>
      <c r="D12" s="19" t="s">
        <v>23</v>
      </c>
      <c r="E12" s="19" t="s">
        <v>35</v>
      </c>
      <c r="F12" s="19" t="s">
        <v>36</v>
      </c>
    </row>
    <row r="13">
      <c r="A13" s="15" t="s">
        <v>37</v>
      </c>
      <c r="B13" s="13">
        <v>312.0</v>
      </c>
      <c r="C13" s="13">
        <v>312.0</v>
      </c>
      <c r="D13" s="13" t="str">
        <f t="shared" ref="D13:D18" si="4">B13-C13</f>
        <v>0.00 د.أ</v>
      </c>
      <c r="E13" s="20" t="s">
        <v>38</v>
      </c>
      <c r="F13" s="20" t="s">
        <v>39</v>
      </c>
    </row>
    <row r="14">
      <c r="A14" s="15" t="s">
        <v>40</v>
      </c>
      <c r="B14" s="13">
        <v>50.0</v>
      </c>
      <c r="C14" s="13">
        <v>50.0</v>
      </c>
      <c r="D14" s="13" t="str">
        <f t="shared" si="4"/>
        <v>0.00 د.أ</v>
      </c>
      <c r="E14" s="20" t="s">
        <v>41</v>
      </c>
      <c r="F14" s="20" t="s">
        <v>39</v>
      </c>
    </row>
    <row r="15">
      <c r="A15" s="15" t="s">
        <v>42</v>
      </c>
      <c r="B15" s="13">
        <v>13.0</v>
      </c>
      <c r="C15" s="13">
        <v>13.0</v>
      </c>
      <c r="D15" s="13" t="str">
        <f t="shared" si="4"/>
        <v>0.00 د.أ</v>
      </c>
      <c r="E15" s="20" t="s">
        <v>43</v>
      </c>
      <c r="F15" s="20" t="s">
        <v>39</v>
      </c>
    </row>
    <row r="16">
      <c r="A16" s="15" t="s">
        <v>44</v>
      </c>
      <c r="B16" s="13">
        <v>108.0</v>
      </c>
      <c r="C16" s="13">
        <v>108.0</v>
      </c>
      <c r="D16" s="13" t="str">
        <f t="shared" si="4"/>
        <v>0.00 د.أ</v>
      </c>
      <c r="E16" s="20" t="s">
        <v>45</v>
      </c>
      <c r="F16" s="20" t="s">
        <v>39</v>
      </c>
    </row>
    <row r="17">
      <c r="A17" s="15" t="s">
        <v>46</v>
      </c>
      <c r="B17" s="13">
        <v>120.0</v>
      </c>
      <c r="C17" s="13">
        <v>120.0</v>
      </c>
      <c r="D17" s="13" t="str">
        <f t="shared" si="4"/>
        <v>0.00 د.أ</v>
      </c>
      <c r="E17" s="20" t="s">
        <v>41</v>
      </c>
      <c r="F17" s="20" t="s">
        <v>39</v>
      </c>
    </row>
    <row r="18">
      <c r="A18" s="16" t="s">
        <v>47</v>
      </c>
      <c r="B18" s="17" t="str">
        <f t="shared" ref="B18:C18" si="5">SUM(B13:B17)</f>
        <v>603.00 د.أ</v>
      </c>
      <c r="C18" s="17" t="str">
        <f t="shared" si="5"/>
        <v>603.00 د.أ</v>
      </c>
      <c r="D18" s="17" t="str">
        <f t="shared" si="4"/>
        <v>0.00 د.أ</v>
      </c>
      <c r="E18" s="21" t="s">
        <v>48</v>
      </c>
      <c r="F18" s="21" t="s">
        <v>48</v>
      </c>
    </row>
    <row r="20">
      <c r="A20" s="10" t="s">
        <v>49</v>
      </c>
    </row>
    <row r="21" ht="15.75" customHeight="1">
      <c r="A21" s="11" t="s">
        <v>50</v>
      </c>
      <c r="B21" s="11" t="s">
        <v>51</v>
      </c>
      <c r="C21" s="11" t="s">
        <v>8</v>
      </c>
      <c r="D21" s="11" t="s">
        <v>52</v>
      </c>
      <c r="E21" s="11" t="s">
        <v>23</v>
      </c>
      <c r="F21" s="11" t="s">
        <v>53</v>
      </c>
    </row>
    <row r="22" ht="15.75" customHeight="1">
      <c r="A22" s="22" t="s">
        <v>14</v>
      </c>
      <c r="B22" s="15" t="s">
        <v>54</v>
      </c>
      <c r="C22" s="13">
        <v>250.0</v>
      </c>
      <c r="D22" s="13" t="str">
        <f>SUMIF('سجل المصروفات اليومي'!E:E, "الاحتياجات الأساسية", 'سجل المصروفات اليومي'!G:G)</f>
        <v>127.00 د.أ</v>
      </c>
      <c r="E22" s="13" t="str">
        <f t="shared" ref="E22:E26" si="6">C22-D22</f>
        <v>123.00 د.أ</v>
      </c>
      <c r="F22" s="14" t="str">
        <f t="shared" ref="F22:F26" si="7">D22/C22</f>
        <v>50.8%</v>
      </c>
    </row>
    <row r="23" ht="15.75" customHeight="1">
      <c r="A23" s="23" t="s">
        <v>15</v>
      </c>
      <c r="B23" s="15" t="s">
        <v>55</v>
      </c>
      <c r="C23" s="13">
        <v>120.0</v>
      </c>
      <c r="D23" s="13" t="str">
        <f>SUMIF('سجل المصروفات اليومي'!E:E, "الكماليات والرغبات", 'سجل المصروفات اليومي'!G:G)</f>
        <v>68.50 د.أ</v>
      </c>
      <c r="E23" s="13" t="str">
        <f t="shared" si="6"/>
        <v>51.50 د.أ</v>
      </c>
      <c r="F23" s="14" t="str">
        <f t="shared" si="7"/>
        <v>57.1%</v>
      </c>
    </row>
    <row r="24" ht="15.75" customHeight="1">
      <c r="A24" s="24" t="s">
        <v>16</v>
      </c>
      <c r="B24" s="15" t="s">
        <v>56</v>
      </c>
      <c r="C24" s="13">
        <v>50.0</v>
      </c>
      <c r="D24" s="13" t="str">
        <f>SUMIF('سجل المصروفات اليومي'!E:E, "الثقافة والترفيه", 'سجل المصروفات اليومي'!G:G)</f>
        <v>37.00 د.أ</v>
      </c>
      <c r="E24" s="13" t="str">
        <f t="shared" si="6"/>
        <v>13.00 د.أ</v>
      </c>
      <c r="F24" s="14" t="str">
        <f t="shared" si="7"/>
        <v>74.0%</v>
      </c>
    </row>
    <row r="25" ht="15.75" customHeight="1">
      <c r="A25" s="25" t="s">
        <v>17</v>
      </c>
      <c r="B25" s="15" t="s">
        <v>57</v>
      </c>
      <c r="C25" s="13">
        <v>80.0</v>
      </c>
      <c r="D25" s="13" t="str">
        <f>SUMIF('سجل المصروفات اليومي'!E:E, "المصاريف الطارئة", 'سجل المصروفات اليومي'!G:G)</f>
        <v>15.00 د.أ</v>
      </c>
      <c r="E25" s="13" t="str">
        <f t="shared" si="6"/>
        <v>65.00 د.أ</v>
      </c>
      <c r="F25" s="14" t="str">
        <f t="shared" si="7"/>
        <v>18.8%</v>
      </c>
    </row>
    <row r="26" ht="15.75" customHeight="1">
      <c r="A26" s="16" t="s">
        <v>58</v>
      </c>
      <c r="B26" s="26" t="s">
        <v>59</v>
      </c>
      <c r="C26" s="17" t="str">
        <f t="shared" ref="C26:D26" si="8">SUM(C22:C25)</f>
        <v>500.00 د.أ</v>
      </c>
      <c r="D26" s="17" t="str">
        <f t="shared" si="8"/>
        <v>247.50 د.أ</v>
      </c>
      <c r="E26" s="17" t="str">
        <f t="shared" si="6"/>
        <v>252.50 د.أ</v>
      </c>
      <c r="F26" s="18" t="str">
        <f t="shared" si="7"/>
        <v>49.5%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12.0"/>
    <col customWidth="1" min="4" max="4" width="28.0"/>
    <col customWidth="1" min="5" max="5" width="24.0"/>
    <col customWidth="1" min="6" max="6" width="14.0"/>
    <col customWidth="1" min="7" max="7" width="16.0"/>
    <col customWidth="1" min="8" max="8" width="25.0"/>
    <col customWidth="1" min="9" max="11" width="8.71"/>
  </cols>
  <sheetData>
    <row r="1">
      <c r="A1" s="1" t="s">
        <v>60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4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50</v>
      </c>
      <c r="F4" s="11" t="s">
        <v>65</v>
      </c>
      <c r="G4" s="11" t="s">
        <v>66</v>
      </c>
      <c r="H4" s="11" t="s">
        <v>25</v>
      </c>
    </row>
    <row r="5">
      <c r="A5" s="27">
        <v>1.0</v>
      </c>
      <c r="B5" s="27" t="s">
        <v>67</v>
      </c>
      <c r="C5" s="20" t="s">
        <v>68</v>
      </c>
      <c r="D5" s="15" t="s">
        <v>69</v>
      </c>
      <c r="E5" s="20" t="s">
        <v>70</v>
      </c>
      <c r="F5" s="20" t="s">
        <v>71</v>
      </c>
      <c r="G5" s="13">
        <v>35.5</v>
      </c>
      <c r="H5" s="15" t="s">
        <v>72</v>
      </c>
    </row>
    <row r="6">
      <c r="A6" s="27">
        <v>2.0</v>
      </c>
      <c r="B6" s="27" t="s">
        <v>67</v>
      </c>
      <c r="C6" s="20" t="s">
        <v>68</v>
      </c>
      <c r="D6" s="15" t="s">
        <v>73</v>
      </c>
      <c r="E6" s="20" t="s">
        <v>74</v>
      </c>
      <c r="F6" s="20" t="s">
        <v>75</v>
      </c>
      <c r="G6" s="13">
        <v>4.5</v>
      </c>
      <c r="H6" s="15" t="s">
        <v>76</v>
      </c>
    </row>
    <row r="7">
      <c r="A7" s="27">
        <v>3.0</v>
      </c>
      <c r="B7" s="27" t="s">
        <v>77</v>
      </c>
      <c r="C7" s="20" t="s">
        <v>78</v>
      </c>
      <c r="D7" s="15" t="s">
        <v>79</v>
      </c>
      <c r="E7" s="20" t="s">
        <v>70</v>
      </c>
      <c r="F7" s="20" t="s">
        <v>71</v>
      </c>
      <c r="G7" s="13">
        <v>25.0</v>
      </c>
      <c r="H7" s="15" t="s">
        <v>80</v>
      </c>
    </row>
    <row r="8">
      <c r="A8" s="27">
        <v>4.0</v>
      </c>
      <c r="B8" s="27" t="s">
        <v>81</v>
      </c>
      <c r="C8" s="20" t="s">
        <v>82</v>
      </c>
      <c r="D8" s="15" t="s">
        <v>83</v>
      </c>
      <c r="E8" s="20" t="s">
        <v>84</v>
      </c>
      <c r="F8" s="20" t="s">
        <v>75</v>
      </c>
      <c r="G8" s="13">
        <v>12.0</v>
      </c>
      <c r="H8" s="15" t="s">
        <v>85</v>
      </c>
    </row>
    <row r="9">
      <c r="A9" s="27">
        <v>5.0</v>
      </c>
      <c r="B9" s="27" t="s">
        <v>86</v>
      </c>
      <c r="C9" s="20" t="s">
        <v>87</v>
      </c>
      <c r="D9" s="15" t="s">
        <v>88</v>
      </c>
      <c r="E9" s="20" t="s">
        <v>74</v>
      </c>
      <c r="F9" s="20" t="s">
        <v>75</v>
      </c>
      <c r="G9" s="13">
        <v>42.0</v>
      </c>
      <c r="H9" s="15" t="s">
        <v>89</v>
      </c>
    </row>
    <row r="10">
      <c r="A10" s="27">
        <v>6.0</v>
      </c>
      <c r="B10" s="27" t="s">
        <v>90</v>
      </c>
      <c r="C10" s="20" t="s">
        <v>91</v>
      </c>
      <c r="D10" s="15" t="s">
        <v>92</v>
      </c>
      <c r="E10" s="20" t="s">
        <v>93</v>
      </c>
      <c r="F10" s="20" t="s">
        <v>71</v>
      </c>
      <c r="G10" s="13">
        <v>15.0</v>
      </c>
      <c r="H10" s="15" t="s">
        <v>94</v>
      </c>
    </row>
    <row r="11">
      <c r="A11" s="27">
        <v>7.0</v>
      </c>
      <c r="B11" s="27" t="s">
        <v>95</v>
      </c>
      <c r="C11" s="20" t="s">
        <v>96</v>
      </c>
      <c r="D11" s="15" t="s">
        <v>97</v>
      </c>
      <c r="E11" s="20" t="s">
        <v>70</v>
      </c>
      <c r="F11" s="20" t="s">
        <v>71</v>
      </c>
      <c r="G11" s="13">
        <v>18.5</v>
      </c>
      <c r="H11" s="15" t="s">
        <v>98</v>
      </c>
    </row>
    <row r="12">
      <c r="A12" s="27">
        <v>8.0</v>
      </c>
      <c r="B12" s="27" t="s">
        <v>99</v>
      </c>
      <c r="C12" s="20" t="s">
        <v>100</v>
      </c>
      <c r="D12" s="15" t="s">
        <v>101</v>
      </c>
      <c r="E12" s="20" t="s">
        <v>84</v>
      </c>
      <c r="F12" s="20" t="s">
        <v>75</v>
      </c>
      <c r="G12" s="13">
        <v>25.0</v>
      </c>
      <c r="H12" s="15" t="s">
        <v>102</v>
      </c>
    </row>
    <row r="13">
      <c r="A13" s="27">
        <v>9.0</v>
      </c>
      <c r="B13" s="27" t="s">
        <v>103</v>
      </c>
      <c r="C13" s="20" t="s">
        <v>68</v>
      </c>
      <c r="D13" s="15" t="s">
        <v>104</v>
      </c>
      <c r="E13" s="20" t="s">
        <v>70</v>
      </c>
      <c r="F13" s="20" t="s">
        <v>75</v>
      </c>
      <c r="G13" s="13">
        <v>48.0</v>
      </c>
      <c r="H13" s="15" t="s">
        <v>105</v>
      </c>
    </row>
    <row r="14">
      <c r="A14" s="27">
        <v>10.0</v>
      </c>
      <c r="B14" s="27" t="s">
        <v>106</v>
      </c>
      <c r="C14" s="20" t="s">
        <v>78</v>
      </c>
      <c r="D14" s="15" t="s">
        <v>107</v>
      </c>
      <c r="E14" s="20" t="s">
        <v>74</v>
      </c>
      <c r="F14" s="20" t="s">
        <v>75</v>
      </c>
      <c r="G14" s="13">
        <v>22.0</v>
      </c>
      <c r="H14" s="15" t="s">
        <v>108</v>
      </c>
    </row>
    <row r="15">
      <c r="A15" s="27">
        <v>11.0</v>
      </c>
      <c r="B15" s="27"/>
      <c r="C15" s="27"/>
      <c r="D15" s="28"/>
      <c r="E15" s="27"/>
      <c r="F15" s="27"/>
      <c r="G15" s="13"/>
      <c r="H15" s="28"/>
    </row>
    <row r="16">
      <c r="A16" s="27">
        <v>12.0</v>
      </c>
      <c r="B16" s="27"/>
      <c r="C16" s="27"/>
      <c r="D16" s="28"/>
      <c r="E16" s="27"/>
      <c r="F16" s="27"/>
      <c r="G16" s="13"/>
      <c r="H16" s="28"/>
    </row>
    <row r="17">
      <c r="A17" s="27">
        <v>13.0</v>
      </c>
      <c r="B17" s="27"/>
      <c r="C17" s="27"/>
      <c r="D17" s="28"/>
      <c r="E17" s="27"/>
      <c r="F17" s="27"/>
      <c r="G17" s="13"/>
      <c r="H17" s="28"/>
    </row>
    <row r="18">
      <c r="A18" s="27">
        <v>14.0</v>
      </c>
      <c r="B18" s="27"/>
      <c r="C18" s="27"/>
      <c r="D18" s="28"/>
      <c r="E18" s="27"/>
      <c r="F18" s="27"/>
      <c r="G18" s="13"/>
      <c r="H18" s="28"/>
    </row>
    <row r="19">
      <c r="A19" s="27">
        <v>15.0</v>
      </c>
      <c r="B19" s="27"/>
      <c r="C19" s="27"/>
      <c r="D19" s="28"/>
      <c r="E19" s="27"/>
      <c r="F19" s="27"/>
      <c r="G19" s="13"/>
      <c r="H19" s="28"/>
    </row>
    <row r="20">
      <c r="A20" s="27">
        <v>16.0</v>
      </c>
      <c r="B20" s="27"/>
      <c r="C20" s="27"/>
      <c r="D20" s="28"/>
      <c r="E20" s="27"/>
      <c r="F20" s="27"/>
      <c r="G20" s="13"/>
      <c r="H20" s="28"/>
    </row>
    <row r="21" ht="15.75" customHeight="1">
      <c r="A21" s="27">
        <v>17.0</v>
      </c>
      <c r="B21" s="27"/>
      <c r="C21" s="27"/>
      <c r="D21" s="28"/>
      <c r="E21" s="27"/>
      <c r="F21" s="27"/>
      <c r="G21" s="13"/>
      <c r="H21" s="28"/>
    </row>
    <row r="22" ht="15.75" customHeight="1">
      <c r="A22" s="27">
        <v>18.0</v>
      </c>
      <c r="B22" s="27"/>
      <c r="C22" s="27"/>
      <c r="D22" s="28"/>
      <c r="E22" s="27"/>
      <c r="F22" s="27"/>
      <c r="G22" s="13"/>
      <c r="H22" s="28"/>
    </row>
    <row r="23" ht="15.75" customHeight="1">
      <c r="A23" s="27">
        <v>19.0</v>
      </c>
      <c r="B23" s="27"/>
      <c r="C23" s="27"/>
      <c r="D23" s="28"/>
      <c r="E23" s="27"/>
      <c r="F23" s="27"/>
      <c r="G23" s="13"/>
      <c r="H23" s="28"/>
    </row>
    <row r="24" ht="15.75" customHeight="1">
      <c r="A24" s="27">
        <v>20.0</v>
      </c>
      <c r="B24" s="27"/>
      <c r="C24" s="27"/>
      <c r="D24" s="28"/>
      <c r="E24" s="27"/>
      <c r="F24" s="27"/>
      <c r="G24" s="13"/>
      <c r="H24" s="28"/>
    </row>
    <row r="25" ht="15.75" customHeight="1">
      <c r="A25" s="27">
        <v>21.0</v>
      </c>
      <c r="B25" s="27"/>
      <c r="C25" s="27"/>
      <c r="D25" s="28"/>
      <c r="E25" s="27"/>
      <c r="F25" s="27"/>
      <c r="G25" s="13"/>
      <c r="H25" s="28"/>
    </row>
    <row r="26" ht="15.75" customHeight="1">
      <c r="A26" s="27">
        <v>22.0</v>
      </c>
      <c r="B26" s="27"/>
      <c r="C26" s="27"/>
      <c r="D26" s="28"/>
      <c r="E26" s="27"/>
      <c r="F26" s="27"/>
      <c r="G26" s="13"/>
      <c r="H26" s="28"/>
    </row>
    <row r="27" ht="15.75" customHeight="1">
      <c r="A27" s="27">
        <v>23.0</v>
      </c>
      <c r="B27" s="27"/>
      <c r="C27" s="27"/>
      <c r="D27" s="28"/>
      <c r="E27" s="27"/>
      <c r="F27" s="27"/>
      <c r="G27" s="13"/>
      <c r="H27" s="28"/>
    </row>
    <row r="28" ht="15.75" customHeight="1">
      <c r="A28" s="27">
        <v>24.0</v>
      </c>
      <c r="B28" s="27"/>
      <c r="C28" s="27"/>
      <c r="D28" s="28"/>
      <c r="E28" s="27"/>
      <c r="F28" s="27"/>
      <c r="G28" s="13"/>
      <c r="H28" s="28"/>
    </row>
    <row r="29" ht="15.75" customHeight="1">
      <c r="A29" s="27">
        <v>25.0</v>
      </c>
      <c r="B29" s="27"/>
      <c r="C29" s="27"/>
      <c r="D29" s="28"/>
      <c r="E29" s="27"/>
      <c r="F29" s="27"/>
      <c r="G29" s="13"/>
      <c r="H29" s="28"/>
    </row>
    <row r="30" ht="15.75" customHeight="1">
      <c r="A30" s="27">
        <v>26.0</v>
      </c>
      <c r="B30" s="27"/>
      <c r="C30" s="27"/>
      <c r="D30" s="28"/>
      <c r="E30" s="27"/>
      <c r="F30" s="27"/>
      <c r="G30" s="13"/>
      <c r="H30" s="28"/>
    </row>
    <row r="31" ht="15.75" customHeight="1">
      <c r="A31" s="27">
        <v>27.0</v>
      </c>
      <c r="B31" s="27"/>
      <c r="C31" s="27"/>
      <c r="D31" s="28"/>
      <c r="E31" s="27"/>
      <c r="F31" s="27"/>
      <c r="G31" s="13"/>
      <c r="H31" s="28"/>
    </row>
    <row r="32" ht="15.75" customHeight="1">
      <c r="A32" s="27">
        <v>28.0</v>
      </c>
      <c r="B32" s="27"/>
      <c r="C32" s="27"/>
      <c r="D32" s="28"/>
      <c r="E32" s="27"/>
      <c r="F32" s="27"/>
      <c r="G32" s="13"/>
      <c r="H32" s="28"/>
    </row>
    <row r="33" ht="15.75" customHeight="1">
      <c r="A33" s="27">
        <v>29.0</v>
      </c>
      <c r="B33" s="27"/>
      <c r="C33" s="27"/>
      <c r="D33" s="28"/>
      <c r="E33" s="27"/>
      <c r="F33" s="27"/>
      <c r="G33" s="13"/>
      <c r="H33" s="28"/>
    </row>
    <row r="34" ht="15.75" customHeight="1">
      <c r="A34" s="27">
        <v>30.0</v>
      </c>
      <c r="B34" s="27"/>
      <c r="C34" s="27"/>
      <c r="D34" s="28"/>
      <c r="E34" s="27"/>
      <c r="F34" s="27"/>
      <c r="G34" s="13"/>
      <c r="H34" s="28"/>
    </row>
    <row r="35" ht="15.75" customHeight="1">
      <c r="A35" s="27">
        <v>31.0</v>
      </c>
      <c r="B35" s="27"/>
      <c r="C35" s="27"/>
      <c r="D35" s="28"/>
      <c r="E35" s="27"/>
      <c r="F35" s="27"/>
      <c r="G35" s="13"/>
      <c r="H35" s="28"/>
    </row>
    <row r="36" ht="15.75" customHeight="1">
      <c r="A36" s="27">
        <v>32.0</v>
      </c>
      <c r="B36" s="27"/>
      <c r="C36" s="27"/>
      <c r="D36" s="28"/>
      <c r="E36" s="27"/>
      <c r="F36" s="27"/>
      <c r="G36" s="13"/>
      <c r="H36" s="28"/>
    </row>
    <row r="37" ht="15.75" customHeight="1">
      <c r="A37" s="27">
        <v>33.0</v>
      </c>
      <c r="B37" s="27"/>
      <c r="C37" s="27"/>
      <c r="D37" s="28"/>
      <c r="E37" s="27"/>
      <c r="F37" s="27"/>
      <c r="G37" s="13"/>
      <c r="H37" s="28"/>
    </row>
    <row r="38" ht="15.75" customHeight="1">
      <c r="A38" s="27">
        <v>34.0</v>
      </c>
      <c r="B38" s="27"/>
      <c r="C38" s="27"/>
      <c r="D38" s="28"/>
      <c r="E38" s="27"/>
      <c r="F38" s="27"/>
      <c r="G38" s="13"/>
      <c r="H38" s="28"/>
    </row>
    <row r="39" ht="15.75" customHeight="1">
      <c r="A39" s="27">
        <v>35.0</v>
      </c>
      <c r="B39" s="27"/>
      <c r="C39" s="27"/>
      <c r="D39" s="28"/>
      <c r="E39" s="27"/>
      <c r="F39" s="27"/>
      <c r="G39" s="13"/>
      <c r="H39" s="28"/>
    </row>
    <row r="40" ht="15.75" customHeight="1">
      <c r="A40" s="27">
        <v>36.0</v>
      </c>
      <c r="B40" s="27"/>
      <c r="C40" s="27"/>
      <c r="D40" s="28"/>
      <c r="E40" s="27"/>
      <c r="F40" s="27"/>
      <c r="G40" s="13"/>
      <c r="H40" s="28"/>
    </row>
    <row r="41" ht="15.75" customHeight="1">
      <c r="A41" s="29" t="s">
        <v>109</v>
      </c>
      <c r="B41" s="21" t="s">
        <v>48</v>
      </c>
      <c r="C41" s="21" t="s">
        <v>48</v>
      </c>
      <c r="D41" s="21" t="s">
        <v>48</v>
      </c>
      <c r="E41" s="21" t="s">
        <v>48</v>
      </c>
      <c r="F41" s="21" t="s">
        <v>48</v>
      </c>
      <c r="G41" s="30" t="str">
        <f>SUM(G5:G40)</f>
        <v>247.50 د.أ</v>
      </c>
      <c r="H41" s="31" t="s">
        <v>110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2"/>
  </mergeCells>
  <dataValidations>
    <dataValidation type="list" allowBlank="1" showInputMessage="1" showErrorMessage="1" prompt="اليوم - اختر أحد أيام الأسبوع." sqref="C5:C40">
      <formula1>"الأحد,الإثنين,الثلاثاء,الأربعاء,الخميس,الجمعة,السبت"</formula1>
    </dataValidation>
    <dataValidation type="list" allowBlank="1" showInputMessage="1" showErrorMessage="1" prompt="طريقة الدفع - اختر نقدي أو بطاقة." sqref="F5:F40">
      <formula1>"نقدي,بطاقة"</formula1>
    </dataValidation>
    <dataValidation type="list" allowBlank="1" sqref="E5:E40">
      <formula1>"الاحتياجات الأساسية,الكماليات والرغبات,الثقافة والترفيه,المصاريف الطارئة"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8.71"/>
    <col customWidth="1" min="2" max="2" width="17.43"/>
    <col customWidth="1" min="3" max="3" width="37.14"/>
    <col customWidth="1" min="4" max="11" width="8.71"/>
  </cols>
  <sheetData>
    <row r="1">
      <c r="A1" s="32"/>
      <c r="B1" s="32"/>
      <c r="C1" s="33"/>
    </row>
    <row r="2">
      <c r="A2" s="34" t="s">
        <v>111</v>
      </c>
      <c r="C2" s="35"/>
    </row>
    <row r="3">
      <c r="A3" s="36"/>
      <c r="B3" s="36"/>
      <c r="C3" s="37"/>
    </row>
    <row r="4">
      <c r="A4" s="38" t="s">
        <v>112</v>
      </c>
      <c r="B4" s="39" t="s">
        <v>113</v>
      </c>
      <c r="C4" s="39" t="s">
        <v>25</v>
      </c>
    </row>
    <row r="5">
      <c r="A5" s="40" t="s">
        <v>114</v>
      </c>
      <c r="B5" s="41"/>
      <c r="C5" s="42"/>
    </row>
    <row r="6">
      <c r="A6" s="40" t="s">
        <v>115</v>
      </c>
      <c r="B6" s="41"/>
      <c r="C6" s="42"/>
    </row>
    <row r="7">
      <c r="A7" s="40" t="s">
        <v>116</v>
      </c>
      <c r="B7" s="41"/>
      <c r="C7" s="42"/>
    </row>
    <row r="8">
      <c r="A8" s="40" t="s">
        <v>117</v>
      </c>
      <c r="B8" s="41"/>
      <c r="C8" s="42"/>
    </row>
    <row r="9">
      <c r="A9" s="40" t="s">
        <v>118</v>
      </c>
      <c r="B9" s="43"/>
      <c r="C9" s="42"/>
    </row>
    <row r="10">
      <c r="A10" s="40" t="s">
        <v>119</v>
      </c>
      <c r="B10" s="43"/>
      <c r="C10" s="42"/>
    </row>
    <row r="11">
      <c r="A11" s="40" t="s">
        <v>120</v>
      </c>
      <c r="B11" s="43"/>
      <c r="C11" s="42"/>
    </row>
    <row r="12">
      <c r="A12" s="44" t="s">
        <v>121</v>
      </c>
      <c r="B12" s="41"/>
      <c r="C12" s="42"/>
    </row>
    <row r="13">
      <c r="A13" s="44" t="s">
        <v>122</v>
      </c>
      <c r="B13" s="41"/>
      <c r="C13" s="42"/>
    </row>
    <row r="14">
      <c r="A14" s="44" t="s">
        <v>123</v>
      </c>
      <c r="B14" s="41"/>
      <c r="C14" s="42"/>
    </row>
    <row r="15">
      <c r="A15" s="44" t="s">
        <v>124</v>
      </c>
      <c r="B15" s="41"/>
      <c r="C15" s="42"/>
    </row>
    <row r="16">
      <c r="A16" s="44" t="s">
        <v>125</v>
      </c>
      <c r="B16" s="41"/>
      <c r="C16" s="42"/>
    </row>
    <row r="17">
      <c r="A17" s="44" t="s">
        <v>126</v>
      </c>
      <c r="B17" s="41"/>
      <c r="C17" s="42"/>
    </row>
    <row r="18">
      <c r="A18" s="44" t="s">
        <v>127</v>
      </c>
      <c r="B18" s="41"/>
      <c r="C18" s="42"/>
    </row>
    <row r="19">
      <c r="A19" s="44" t="s">
        <v>128</v>
      </c>
      <c r="B19" s="43"/>
      <c r="C19" s="42"/>
    </row>
    <row r="20">
      <c r="A20" s="44" t="s">
        <v>129</v>
      </c>
      <c r="B20" s="41"/>
      <c r="C20" s="42"/>
    </row>
    <row r="21" ht="15.75" customHeight="1">
      <c r="A21" s="40" t="s">
        <v>130</v>
      </c>
      <c r="B21" s="41"/>
      <c r="C21" s="42"/>
    </row>
    <row r="22" ht="15.75" customHeight="1">
      <c r="A22" s="40" t="s">
        <v>131</v>
      </c>
      <c r="B22" s="41"/>
      <c r="C22" s="42"/>
    </row>
    <row r="23" ht="15.75" customHeight="1">
      <c r="A23" s="40" t="s">
        <v>132</v>
      </c>
      <c r="B23" s="41"/>
      <c r="C23" s="42"/>
    </row>
    <row r="24" ht="15.75" customHeight="1">
      <c r="A24" s="40" t="s">
        <v>133</v>
      </c>
      <c r="B24" s="41"/>
      <c r="C24" s="42"/>
    </row>
    <row r="25" ht="15.75" customHeight="1">
      <c r="A25" s="40" t="s">
        <v>134</v>
      </c>
      <c r="B25" s="41"/>
      <c r="C25" s="42"/>
    </row>
    <row r="26" ht="15.75" customHeight="1">
      <c r="A26" s="40" t="s">
        <v>135</v>
      </c>
      <c r="B26" s="41"/>
      <c r="C26" s="42"/>
    </row>
    <row r="27" ht="15.75" customHeight="1">
      <c r="A27" s="40" t="s">
        <v>136</v>
      </c>
      <c r="B27" s="41"/>
      <c r="C27" s="42"/>
    </row>
    <row r="28" ht="15.75" customHeight="1">
      <c r="A28" s="40" t="s">
        <v>137</v>
      </c>
      <c r="B28" s="41"/>
      <c r="C28" s="42"/>
    </row>
    <row r="29" ht="15.75" customHeight="1">
      <c r="A29" s="40" t="s">
        <v>138</v>
      </c>
      <c r="B29" s="41"/>
      <c r="C29" s="42"/>
    </row>
    <row r="30" ht="15.75" customHeight="1">
      <c r="A30" s="40" t="s">
        <v>139</v>
      </c>
      <c r="B30" s="41"/>
      <c r="C30" s="42"/>
    </row>
    <row r="31" ht="15.75" customHeight="1">
      <c r="A31" s="40" t="s">
        <v>140</v>
      </c>
      <c r="B31" s="41"/>
      <c r="C31" s="42"/>
    </row>
    <row r="32" ht="15.75" customHeight="1">
      <c r="A32" s="40" t="s">
        <v>141</v>
      </c>
      <c r="B32" s="41"/>
      <c r="C32" s="42"/>
    </row>
    <row r="33" ht="15.75" customHeight="1">
      <c r="A33" s="40" t="s">
        <v>142</v>
      </c>
      <c r="B33" s="41"/>
      <c r="C33" s="42"/>
    </row>
    <row r="34" ht="15.75" customHeight="1">
      <c r="A34" s="40" t="s">
        <v>143</v>
      </c>
      <c r="B34" s="41"/>
      <c r="C34" s="42"/>
    </row>
    <row r="35" ht="15.75" customHeight="1">
      <c r="A35" s="40" t="s">
        <v>144</v>
      </c>
      <c r="B35" s="41"/>
      <c r="C35" s="42"/>
    </row>
    <row r="36" ht="15.75" customHeight="1">
      <c r="A36" s="40" t="s">
        <v>145</v>
      </c>
      <c r="B36" s="41"/>
      <c r="C36" s="42"/>
    </row>
    <row r="37" ht="15.75" customHeight="1">
      <c r="A37" s="40" t="s">
        <v>146</v>
      </c>
      <c r="B37" s="41"/>
      <c r="C37" s="42"/>
    </row>
    <row r="38" ht="15.75" customHeight="1">
      <c r="A38" s="40" t="s">
        <v>147</v>
      </c>
      <c r="B38" s="41"/>
      <c r="C38" s="42"/>
    </row>
    <row r="39" ht="15.75" customHeight="1">
      <c r="A39" s="40" t="s">
        <v>148</v>
      </c>
      <c r="B39" s="41"/>
      <c r="C39" s="42"/>
    </row>
    <row r="40" ht="15.75" customHeight="1">
      <c r="A40" s="40" t="s">
        <v>149</v>
      </c>
      <c r="B40" s="41"/>
      <c r="C40" s="42"/>
    </row>
    <row r="41" ht="15.75" customHeight="1">
      <c r="A41" s="40" t="s">
        <v>150</v>
      </c>
      <c r="B41" s="41"/>
      <c r="C41" s="42"/>
    </row>
    <row r="42" ht="15.75" customHeight="1">
      <c r="A42" s="40" t="s">
        <v>151</v>
      </c>
      <c r="B42" s="41"/>
      <c r="C42" s="42"/>
    </row>
    <row r="43" ht="15.75" customHeight="1">
      <c r="A43" s="40" t="s">
        <v>152</v>
      </c>
      <c r="B43" s="41"/>
      <c r="C43" s="42"/>
    </row>
    <row r="44" ht="15.75" customHeight="1">
      <c r="A44" s="45" t="s">
        <v>153</v>
      </c>
      <c r="B44" s="41"/>
      <c r="C44" s="42"/>
    </row>
    <row r="45" ht="15.75" customHeight="1">
      <c r="A45" s="40" t="s">
        <v>154</v>
      </c>
      <c r="B45" s="41"/>
      <c r="C45" s="42"/>
    </row>
    <row r="46" ht="15.75" customHeight="1">
      <c r="A46" s="40" t="s">
        <v>155</v>
      </c>
      <c r="B46" s="41"/>
      <c r="C46" s="42"/>
    </row>
    <row r="47" ht="15.75" customHeight="1">
      <c r="A47" s="40" t="s">
        <v>156</v>
      </c>
      <c r="B47" s="41"/>
      <c r="C47" s="42"/>
    </row>
    <row r="48" ht="15.75" customHeight="1">
      <c r="A48" s="40" t="s">
        <v>157</v>
      </c>
      <c r="B48" s="41"/>
      <c r="C48" s="42"/>
    </row>
    <row r="49" ht="15.75" customHeight="1">
      <c r="A49" s="40" t="s">
        <v>158</v>
      </c>
      <c r="B49" s="41"/>
      <c r="C49" s="42"/>
    </row>
    <row r="50" ht="15.75" customHeight="1">
      <c r="A50" s="40" t="s">
        <v>159</v>
      </c>
      <c r="B50" s="41"/>
      <c r="C50" s="42"/>
    </row>
    <row r="51" ht="15.75" customHeight="1">
      <c r="A51" s="40" t="s">
        <v>160</v>
      </c>
      <c r="B51" s="41"/>
      <c r="C51" s="42"/>
    </row>
    <row r="52" ht="15.75" customHeight="1">
      <c r="A52" s="40" t="s">
        <v>161</v>
      </c>
      <c r="B52" s="41"/>
      <c r="C52" s="42"/>
    </row>
    <row r="53" ht="15.75" customHeight="1">
      <c r="A53" s="40" t="s">
        <v>162</v>
      </c>
      <c r="B53" s="41"/>
      <c r="C53" s="42"/>
    </row>
    <row r="54" ht="15.75" customHeight="1">
      <c r="A54" s="40" t="s">
        <v>163</v>
      </c>
      <c r="B54" s="41"/>
      <c r="C54" s="42"/>
    </row>
    <row r="55" ht="15.75" customHeight="1">
      <c r="A55" s="40" t="s">
        <v>164</v>
      </c>
      <c r="B55" s="41"/>
      <c r="C55" s="42"/>
    </row>
    <row r="56" ht="15.75" customHeight="1">
      <c r="A56" s="40" t="s">
        <v>165</v>
      </c>
      <c r="B56" s="41"/>
      <c r="C56" s="42"/>
    </row>
    <row r="57" ht="15.75" customHeight="1">
      <c r="A57" s="40" t="s">
        <v>166</v>
      </c>
      <c r="B57" s="41"/>
      <c r="C57" s="42"/>
    </row>
    <row r="58" ht="15.75" customHeight="1">
      <c r="A58" s="40" t="s">
        <v>167</v>
      </c>
      <c r="B58" s="41"/>
      <c r="C58" s="42"/>
    </row>
    <row r="59" ht="15.75" customHeight="1">
      <c r="A59" s="45" t="s">
        <v>168</v>
      </c>
      <c r="B59" s="43"/>
      <c r="C59" s="42"/>
    </row>
    <row r="60" ht="15.75" customHeight="1">
      <c r="A60" s="40" t="s">
        <v>169</v>
      </c>
      <c r="B60" s="43"/>
      <c r="C60" s="42"/>
    </row>
    <row r="61" ht="15.75" customHeight="1">
      <c r="A61" s="46" t="s">
        <v>170</v>
      </c>
      <c r="B61" s="43"/>
      <c r="C61" s="42"/>
    </row>
    <row r="62" ht="15.75" customHeight="1">
      <c r="A62" s="46" t="s">
        <v>171</v>
      </c>
      <c r="B62" s="43"/>
      <c r="C62" s="42"/>
    </row>
    <row r="63" ht="15.75" customHeight="1">
      <c r="A63" s="46" t="s">
        <v>172</v>
      </c>
      <c r="B63" s="43"/>
      <c r="C63" s="42"/>
    </row>
    <row r="64" ht="15.75" customHeight="1">
      <c r="A64" s="46" t="s">
        <v>173</v>
      </c>
      <c r="B64" s="43"/>
      <c r="C64" s="42"/>
    </row>
    <row r="65" ht="15.75" customHeight="1">
      <c r="A65" s="46" t="s">
        <v>174</v>
      </c>
      <c r="B65" s="43"/>
      <c r="C65" s="42"/>
    </row>
    <row r="66" ht="15.75" customHeight="1">
      <c r="A66" s="46" t="s">
        <v>175</v>
      </c>
      <c r="B66" s="43"/>
      <c r="C66" s="42"/>
    </row>
    <row r="67" ht="15.75" customHeight="1">
      <c r="A67" s="46" t="s">
        <v>176</v>
      </c>
      <c r="B67" s="41"/>
      <c r="C67" s="42"/>
    </row>
    <row r="68" ht="15.75" customHeight="1">
      <c r="A68" s="46" t="s">
        <v>177</v>
      </c>
      <c r="B68" s="41"/>
      <c r="C68" s="42"/>
    </row>
    <row r="69" ht="15.75" customHeight="1">
      <c r="A69" s="46" t="s">
        <v>178</v>
      </c>
      <c r="B69" s="43"/>
      <c r="C69" s="42"/>
    </row>
    <row r="70" ht="15.75" customHeight="1">
      <c r="A70" s="46" t="s">
        <v>179</v>
      </c>
      <c r="B70" s="43"/>
      <c r="C70" s="42"/>
    </row>
    <row r="71" ht="15.75" customHeight="1">
      <c r="A71" s="46" t="s">
        <v>180</v>
      </c>
      <c r="B71" s="41"/>
      <c r="C71" s="42"/>
    </row>
    <row r="72" ht="15.75" customHeight="1">
      <c r="A72" s="40" t="s">
        <v>181</v>
      </c>
      <c r="B72" s="41"/>
      <c r="C72" s="42"/>
    </row>
    <row r="73" ht="15.75" customHeight="1">
      <c r="A73" s="40" t="s">
        <v>182</v>
      </c>
      <c r="B73" s="41"/>
      <c r="C73" s="42"/>
    </row>
    <row r="74" ht="15.75" customHeight="1">
      <c r="A74" s="40" t="s">
        <v>183</v>
      </c>
      <c r="B74" s="41"/>
      <c r="C74" s="42"/>
    </row>
    <row r="75" ht="15.75" customHeight="1">
      <c r="A75" s="40" t="s">
        <v>184</v>
      </c>
      <c r="B75" s="41"/>
      <c r="C75" s="42"/>
    </row>
    <row r="76" ht="15.75" customHeight="1">
      <c r="A76" s="40" t="s">
        <v>185</v>
      </c>
      <c r="B76" s="41"/>
      <c r="C76" s="42"/>
    </row>
    <row r="77" ht="15.75" customHeight="1">
      <c r="A77" s="40" t="s">
        <v>186</v>
      </c>
      <c r="B77" s="41"/>
      <c r="C77" s="42"/>
    </row>
    <row r="78" ht="15.75" customHeight="1">
      <c r="A78" s="45" t="s">
        <v>187</v>
      </c>
      <c r="B78" s="41"/>
      <c r="C78" s="42"/>
    </row>
    <row r="79" ht="15.75" customHeight="1">
      <c r="A79" s="40" t="s">
        <v>188</v>
      </c>
      <c r="B79" s="41"/>
      <c r="C79" s="42"/>
    </row>
    <row r="80" ht="15.75" customHeight="1">
      <c r="A80" s="40" t="s">
        <v>189</v>
      </c>
      <c r="B80" s="41"/>
      <c r="C80" s="42"/>
    </row>
    <row r="81" ht="15.75" customHeight="1">
      <c r="A81" s="47" t="s">
        <v>190</v>
      </c>
      <c r="B81" s="41"/>
      <c r="C81" s="42"/>
    </row>
    <row r="82" ht="15.75" customHeight="1">
      <c r="A82" s="47" t="s">
        <v>191</v>
      </c>
      <c r="B82" s="41"/>
      <c r="C82" s="42"/>
    </row>
    <row r="83" ht="15.75" customHeight="1">
      <c r="A83" s="47" t="s">
        <v>192</v>
      </c>
      <c r="B83" s="41"/>
      <c r="C83" s="42"/>
    </row>
    <row r="84" ht="15.75" customHeight="1">
      <c r="A84" s="47" t="s">
        <v>193</v>
      </c>
      <c r="B84" s="41"/>
      <c r="C84" s="42"/>
    </row>
    <row r="85" ht="15.75" customHeight="1">
      <c r="A85" s="47" t="s">
        <v>194</v>
      </c>
      <c r="B85" s="41"/>
      <c r="C85" s="42"/>
    </row>
    <row r="86" ht="15.75" customHeight="1">
      <c r="A86" s="47" t="s">
        <v>195</v>
      </c>
      <c r="B86" s="41"/>
      <c r="C86" s="42"/>
    </row>
    <row r="87" ht="15.75" customHeight="1">
      <c r="A87" s="47" t="s">
        <v>196</v>
      </c>
      <c r="B87" s="41"/>
      <c r="C87" s="42"/>
    </row>
    <row r="88" ht="15.75" customHeight="1">
      <c r="A88" s="47" t="s">
        <v>197</v>
      </c>
      <c r="B88" s="41"/>
      <c r="C88" s="42"/>
    </row>
    <row r="89" ht="15.75" customHeight="1">
      <c r="A89" s="47" t="s">
        <v>198</v>
      </c>
      <c r="B89" s="41"/>
      <c r="C89" s="42"/>
    </row>
    <row r="90" ht="15.75" customHeight="1">
      <c r="A90" s="47" t="s">
        <v>199</v>
      </c>
      <c r="B90" s="41"/>
      <c r="C90" s="42"/>
    </row>
    <row r="91" ht="15.75" customHeight="1">
      <c r="A91" s="47" t="s">
        <v>200</v>
      </c>
      <c r="B91" s="41"/>
      <c r="C91" s="42"/>
    </row>
    <row r="92" ht="15.75" customHeight="1">
      <c r="A92" s="47" t="s">
        <v>201</v>
      </c>
      <c r="B92" s="41"/>
      <c r="C92" s="42"/>
    </row>
    <row r="93" ht="15.75" customHeight="1">
      <c r="A93" s="47" t="s">
        <v>202</v>
      </c>
      <c r="B93" s="41"/>
      <c r="C93" s="42"/>
    </row>
    <row r="94" ht="15.75" customHeight="1">
      <c r="A94" s="47" t="s">
        <v>203</v>
      </c>
      <c r="B94" s="41"/>
      <c r="C94" s="42"/>
    </row>
    <row r="95" ht="15.75" customHeight="1">
      <c r="A95" s="47" t="s">
        <v>204</v>
      </c>
      <c r="B95" s="41"/>
      <c r="C95" s="42"/>
    </row>
    <row r="96" ht="15.75" customHeight="1">
      <c r="A96" s="47" t="s">
        <v>205</v>
      </c>
      <c r="B96" s="41"/>
      <c r="C96" s="42"/>
    </row>
    <row r="97" ht="15.75" customHeight="1">
      <c r="A97" s="47" t="s">
        <v>206</v>
      </c>
      <c r="B97" s="41"/>
      <c r="C97" s="42"/>
    </row>
    <row r="98" ht="15.75" customHeight="1">
      <c r="A98" s="47" t="s">
        <v>207</v>
      </c>
      <c r="B98" s="41"/>
      <c r="C98" s="42"/>
    </row>
    <row r="99" ht="15.75" customHeight="1">
      <c r="A99" s="47" t="s">
        <v>208</v>
      </c>
      <c r="B99" s="41"/>
      <c r="C99" s="42"/>
    </row>
    <row r="100" ht="15.75" customHeight="1">
      <c r="A100" s="47" t="s">
        <v>209</v>
      </c>
      <c r="B100" s="41"/>
      <c r="C100" s="42"/>
    </row>
    <row r="101" ht="15.75" customHeight="1">
      <c r="A101" s="47" t="s">
        <v>210</v>
      </c>
      <c r="B101" s="41"/>
      <c r="C101" s="42"/>
    </row>
    <row r="102" ht="15.75" customHeight="1">
      <c r="A102" s="47" t="s">
        <v>211</v>
      </c>
      <c r="B102" s="41"/>
      <c r="C102" s="42"/>
    </row>
    <row r="103" ht="15.75" customHeight="1">
      <c r="A103" s="47" t="s">
        <v>212</v>
      </c>
      <c r="B103" s="41"/>
      <c r="C103" s="42"/>
    </row>
    <row r="104" ht="15.75" customHeight="1">
      <c r="A104" s="47" t="s">
        <v>213</v>
      </c>
      <c r="B104" s="41"/>
      <c r="C104" s="42"/>
    </row>
    <row r="105" ht="15.75" customHeight="1">
      <c r="A105" s="47" t="s">
        <v>214</v>
      </c>
      <c r="B105" s="41"/>
      <c r="C105" s="42"/>
    </row>
    <row r="106" ht="15.75" customHeight="1">
      <c r="A106" s="47" t="s">
        <v>215</v>
      </c>
      <c r="B106" s="41"/>
      <c r="C106" s="42"/>
    </row>
    <row r="107" ht="15.75" customHeight="1">
      <c r="A107" s="47" t="s">
        <v>216</v>
      </c>
      <c r="B107" s="41"/>
      <c r="C107" s="42"/>
    </row>
    <row r="108" ht="15.75" customHeight="1">
      <c r="A108" s="47" t="s">
        <v>217</v>
      </c>
      <c r="B108" s="41"/>
      <c r="C108" s="42"/>
    </row>
    <row r="109" ht="15.75" customHeight="1">
      <c r="A109" s="47" t="s">
        <v>218</v>
      </c>
      <c r="B109" s="41"/>
      <c r="C109" s="42"/>
    </row>
    <row r="110" ht="15.75" customHeight="1">
      <c r="A110" s="47" t="s">
        <v>219</v>
      </c>
      <c r="B110" s="41"/>
      <c r="C110" s="42"/>
    </row>
    <row r="111" ht="15.75" customHeight="1">
      <c r="A111" s="47" t="s">
        <v>220</v>
      </c>
      <c r="B111" s="41"/>
      <c r="C111" s="42"/>
    </row>
    <row r="112" ht="15.75" customHeight="1">
      <c r="A112" s="47" t="s">
        <v>221</v>
      </c>
      <c r="B112" s="41"/>
      <c r="C112" s="42"/>
    </row>
    <row r="113" ht="15.75" customHeight="1">
      <c r="A113" s="47" t="s">
        <v>222</v>
      </c>
      <c r="B113" s="41"/>
      <c r="C113" s="42"/>
    </row>
    <row r="114" ht="15.75" customHeight="1">
      <c r="A114" s="47" t="s">
        <v>223</v>
      </c>
      <c r="B114" s="41"/>
      <c r="C114" s="42"/>
    </row>
    <row r="115" ht="15.75" customHeight="1">
      <c r="A115" s="48" t="s">
        <v>224</v>
      </c>
      <c r="B115" s="41"/>
      <c r="C115" s="42"/>
    </row>
  </sheetData>
  <mergeCells count="1">
    <mergeCell ref="A2:C2"/>
  </mergeCells>
  <conditionalFormatting sqref="B5:B115">
    <cfRule type="colorScale" priority="1">
      <colorScale>
        <cfvo type="formula" val="0"/>
        <cfvo type="formula" val="1"/>
        <color/>
        <color/>
      </colorScale>
    </cfRule>
  </conditionalFormatting>
  <dataValidations>
    <dataValidation type="decimal" allowBlank="1" showInputMessage="1" showErrorMessage="1" prompt="ادخل قيمة 1 لسلعة - ادخل قيمة 1 لسلعة" sqref="B5:B115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4" width="45.0"/>
    <col customWidth="1" min="5" max="11" width="8.71"/>
  </cols>
  <sheetData>
    <row r="1">
      <c r="A1" s="1" t="s">
        <v>225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4">
      <c r="A4" s="49" t="s">
        <v>226</v>
      </c>
    </row>
    <row r="6">
      <c r="A6" s="11" t="s">
        <v>61</v>
      </c>
      <c r="B6" s="11" t="s">
        <v>227</v>
      </c>
      <c r="C6" s="11" t="s">
        <v>228</v>
      </c>
      <c r="D6" s="11" t="s">
        <v>229</v>
      </c>
    </row>
    <row r="7">
      <c r="A7" s="27">
        <v>1.0</v>
      </c>
      <c r="B7" s="15" t="s">
        <v>230</v>
      </c>
      <c r="C7" s="15" t="s">
        <v>231</v>
      </c>
      <c r="D7" s="15" t="s">
        <v>232</v>
      </c>
    </row>
    <row r="8">
      <c r="A8" s="27">
        <v>2.0</v>
      </c>
      <c r="B8" s="15" t="s">
        <v>233</v>
      </c>
      <c r="C8" s="15" t="s">
        <v>234</v>
      </c>
      <c r="D8" s="15" t="s">
        <v>235</v>
      </c>
    </row>
    <row r="9">
      <c r="A9" s="27">
        <v>3.0</v>
      </c>
      <c r="B9" s="15" t="s">
        <v>236</v>
      </c>
      <c r="C9" s="15" t="s">
        <v>237</v>
      </c>
      <c r="D9" s="15" t="s">
        <v>238</v>
      </c>
    </row>
    <row r="10">
      <c r="A10" s="27">
        <v>4.0</v>
      </c>
      <c r="B10" s="15" t="s">
        <v>239</v>
      </c>
      <c r="C10" s="15" t="s">
        <v>240</v>
      </c>
      <c r="D10" s="15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2026-09-15T17:07:15Z</dcterms:created>
  <dc:creator>openpyxl</dc:creator>
  <dc:description/>
  <cp:keywords/>
  <cp:lastModifiedBy>qais al hayajneh</cp:lastModifiedBy>
  <dcterms:modified xsi:type="dcterms:W3CDTF">2026-09-16T01:00:05Z</dcterms:modified>
  <cp:revision/>
  <dc:subject/>
  <dc:title/>
</cp:coreProperties>
</file>